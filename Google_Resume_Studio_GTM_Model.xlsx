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KPI Dashboard" sheetId="3" state="visible" r:id="rId5"/>
    <sheet name="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<sst xmlns="http://schemas.openxmlformats.org/spreadsheetml/2006/main" count="96" uniqueCount="94">
  <si>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Google Resume Studio — GTM Model Assumptions</t>
  </si>
  <si>
    <t xml:space="preserve">Blue cells = hardcoded inputs (edit these). Black = formulas. Yellow fill = key levers.</t>
  </si>
  <si>
    <t xml:space="preserve">Assumption</t>
  </si>
  <si>
    <t xml:space="preserve">Value</t>
  </si>
  <si>
    <t xml:space="preserve">Source / rationale</t>
  </si>
  <si>
    <t xml:space="preserve">Free → paid conversion (of signups)</t>
  </si>
  <si>
    <t xml:space="preserve">Freemium median 2–5% (knowledgelib.io 2026); consumer 1–3%</t>
  </si>
  <si>
    <t xml:space="preserve">Monthly paid churn</t>
  </si>
  <si>
    <t xml:space="preserve">Job-search tools churn high; ~30% of annual subs cancel in month 1 (RevenueCat 2025). Annual-plan mix pulls blended churn to 7%</t>
  </si>
  <si>
    <t xml:space="preserve">Blended ARPU / month</t>
  </si>
  <si>
    <t xml:space="preserve">Mix of $9.99/mo and $59.99/yr plans</t>
  </si>
  <si>
    <t xml:space="preserve">Monthly plan price</t>
  </si>
  <si>
    <t xml:space="preserve">1/3 of Zety ($25.95/4wk), Teal ($29), Rezi ($29)</t>
  </si>
  <si>
    <t xml:space="preserve">Annual plan price</t>
  </si>
  <si>
    <t xml:space="preserve">50% effective discount to shift mix to annual</t>
  </si>
  <si>
    <t xml:space="preserve">Gross margin</t>
  </si>
  <si>
    <t xml:space="preserve">Consumer SaaS typical; includes inference cost</t>
  </si>
  <si>
    <t xml:space="preserve">Activation rate (resume completed + exported)</t>
  </si>
  <si>
    <t xml:space="preserve">Consumer tool benchmark 40–60%</t>
  </si>
  <si>
    <t xml:space="preserve">Year-1 S&amp;M budget</t>
  </si>
  <si>
    <t xml:space="preserve">See Budget sheet</t>
  </si>
  <si>
    <t xml:space="preserve">Year-1 Monthly Model (launch = Month 1)</t>
  </si>
  <si>
    <t xml:space="preserve">Line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</si>
  <si>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</si>
  <si>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</si>
  <si>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</si>
  <si>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</si>
  <si>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</si>
  <si>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</si>
  <si>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</si>
  <si>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</si>
  <si>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</si>
  <si>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</si>
  <si>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</si>
  <si>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</si>
  <si>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</t>
  </si>
  <si>
    <t xml:space="preserve">New signups (input)</t>
  </si>
  <si>
    <t xml:space="preserve">Activated users</t>
  </si>
  <si>
    <t xml:space="preserve">New paying subscribers</t>
  </si>
  <si>
    <t xml:space="preserve">Churned subscribers</t>
  </si>
  <si>
    <t xml:space="preserve">Ending paying subscribers</t>
  </si>
  <si>
    <t xml:space="preserve">MRR</t>
  </si>
  <si>
    <t xml:space="preserve">Revenue (monthly)</t>
  </si>
  <si>
    <t xml:space="preserve">Gross profit</t>
  </si>
  <si>
    <t xml:space="preserve">Note: signup ramp (blue) reflects launch spike, summer dip (M7–M8), and September/January hiring surges. All other rows are formulas driven by the Assumptions sheet.</t>
  </si>
  <si>
    <t xml:space="preserve">KPI Dashboard — Year-1 Targets vs Model</t>
  </si>
  <si>
    <t xml:space="preserve">KPI</t>
  </si>
  <si>
    <t xml:space="preserve">Model output</t>
  </si>
  <si>
    <t xml:space="preserve">Target</t>
  </si>
  <si>
    <t xml:space="preserve">Status</t>
  </si>
  <si>
    <t xml:space="preserve">Benchmark / definition</t>
  </si>
  <si>
    <t xml:space="preserve">Total signups</t>
  </si>
  <si>
    <t xml:space="preserve">New free accounts, 12 months</t>
  </si>
  <si>
    <t xml:space="preserve">Activation rate</t>
  </si>
  <si>
    <t xml:space="preserve">Completed + exported a resume (benchmark 40–60%)</t>
  </si>
  <si>
    <t xml:space="preserve">Free → paid conversion</t>
  </si>
  <si>
    <t xml:space="preserve">Freemium median 2–5%</t>
  </si>
  <si>
    <t xml:space="preserve">Paying subscribers acquired</t>
  </si>
  <si>
    <t xml:space="preserve">Cumulative new payers</t>
  </si>
  <si>
    <t xml:space="preserve">After churn, month 12</t>
  </si>
  <si>
    <t xml:space="preserve">Year-1 revenue</t>
  </si>
  <si>
    <t xml:space="preserve">Subscription revenue</t>
  </si>
  <si>
    <t xml:space="preserve">Exit ARR</t>
  </si>
  <si>
    <t xml:space="preserve">Month-12 MRR × 12</t>
  </si>
  <si>
    <t xml:space="preserve">Blended CAC (per payer)</t>
  </si>
  <si>
    <t xml:space="preserve">Total S&amp;M ÷ payers acquired; consumer benchmark $20–80</t>
  </si>
  <si>
    <t xml:space="preserve">CAC per signup</t>
  </si>
  <si>
    <t xml:space="preserve">Total S&amp;M ÷ signups</t>
  </si>
  <si>
    <t xml:space="preserve">LTV (contribution)</t>
  </si>
  <si>
    <t xml:space="preserve">ARPU ÷ churn × gross margin</t>
  </si>
  <si>
    <t xml:space="preserve">LTV : CAC (launch year)</t>
  </si>
  <si>
    <t xml:space="preserve">Incl. one-time brand spend; steady-state ~3.2x at $30 CAC</t>
  </si>
  <si>
    <t xml:space="preserve">Logo churn; annual mix reduces blended churn</t>
  </si>
  <si>
    <t xml:space="preserve">North star metric: tailored resumes delivered per week — target 1M/week by month 12 (tracked in product analytics, not modeled here).</t>
  </si>
  <si>
    <t xml:space="preserve">Kill criteria: if conversion &lt;1.5% or D30 retention &lt;15% at month 6, pause paid spend and fix product.</t>
  </si>
  <si>
    <t xml:space="preserve">Year-1 Launch Budget — $12M</t>
  </si>
  <si>
    <t xml:space="preserve">Line item</t>
  </si>
  <si>
    <t xml:space="preserve">Amount</t>
  </si>
  <si>
    <t xml:space="preserve">% of total</t>
  </si>
  <si>
    <t xml:space="preserve">Notes</t>
  </si>
  <si>
    <t xml:space="preserve">Paid media (Search, YouTube, social)</t>
  </si>
  <si>
    <t xml:space="preserve">Weighted to launch quarter + January surge</t>
  </si>
  <si>
    <t xml:space="preserve">Brand &amp; launch moment</t>
  </si>
  <si>
    <t xml:space="preserve">Launch film, keynote assets, OOH in 5 metros</t>
  </si>
  <si>
    <t xml:space="preserve">Creator &amp; influencer program</t>
  </si>
  <si>
    <t xml:space="preserve">50 career creators, always-on</t>
  </si>
  <si>
    <t xml:space="preserve">Partnerships &amp; campus</t>
  </si>
  <si>
    <t xml:space="preserve">200 university career centers, workforce orgs</t>
  </si>
  <si>
    <t xml:space="preserve">PR, data reports, events</t>
  </si>
  <si>
    <t xml:space="preserve">Two agencies + quarterly Job Search Trends reports</t>
  </si>
  <si>
    <t xml:space="preserve">Research, measurement, creative ops</t>
  </si>
  <si>
    <t xml:space="preserve">Brand-lift, MMM, localization</t>
  </si>
  <si>
    <t xml:space="preserve">Total</t>
  </si>
  <si>
    <t xml:space="preserve">Must equal Assumptions!B12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</si>
</sst>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"/>
    <numFmt numFmtId="167" formatCode="\$#,##0;&quot;($&quot;#,##0\);\-"/>
    <numFmt numFmtId="168" formatCode="#,##0;\(#,##0\);\-"/>
    <numFmt numFmtId="169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73E8"/>
      <name val="Arial"/>
      <family val="0"/>
      <charset val="1"/>
    </font>
    <font>
      <i val="true"/>
      <sz val="9"/>
      <color rgb="FF5F63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F636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5F63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0.03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0.07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7.99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v>9.99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v>59.99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9" t="n">
        <v>0.85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9" t="n">
        <v>0.55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10" t="n">
        <v>12000000</v>
      </c>
      <c r="C12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3" t="s">
        <v>22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 t="s">
        <v>33</v>
      </c>
      <c r="M3" s="11" t="s">
        <v>34</v>
      </c>
      <c r="N3" s="11" t="s">
        <v>35</v>
      </c>
    </row>
    <row r="4" customFormat="false" ht="15" hidden="false" customHeight="false" outlineLevel="0" collapsed="false">
      <c r="A4" s="4" t="s">
        <v>36</v>
      </c>
      <c r="B4" s="12" t="n">
        <v>200000</v>
      </c>
      <c r="C4" s="12" t="n">
        <v>300000</v>
      </c>
      <c r="D4" s="12" t="n">
        <v>400000</v>
      </c>
      <c r="E4" s="12" t="n">
        <v>450000</v>
      </c>
      <c r="F4" s="12" t="n">
        <v>500000</v>
      </c>
      <c r="G4" s="12" t="n">
        <v>550000</v>
      </c>
      <c r="H4" s="12" t="n">
        <v>550000</v>
      </c>
      <c r="I4" s="12" t="n">
        <v>500000</v>
      </c>
      <c r="J4" s="12" t="n">
        <v>550000</v>
      </c>
      <c r="K4" s="12" t="n">
        <v>650000</v>
      </c>
      <c r="L4" s="12" t="n">
        <v>700000</v>
      </c>
      <c r="M4" s="12" t="n">
        <v>650000</v>
      </c>
      <c r="N4" s="13" t="n">
        <f aca="false">SUM(B4:M4)</f>
        <v>6000000</v>
      </c>
    </row>
    <row r="5" customFormat="false" ht="15" hidden="false" customHeight="false" outlineLevel="0" collapsed="false">
      <c r="A5" s="4" t="s">
        <v>37</v>
      </c>
      <c r="B5" s="14" t="n">
        <f aca="false">B4*Assumptions!$B$11</f>
        <v>110000</v>
      </c>
      <c r="C5" s="14" t="n">
        <f aca="false">C4*Assumptions!$B$11</f>
        <v>165000</v>
      </c>
      <c r="D5" s="14" t="n">
        <f aca="false">D4*Assumptions!$B$11</f>
        <v>220000</v>
      </c>
      <c r="E5" s="14" t="n">
        <f aca="false">E4*Assumptions!$B$11</f>
        <v>247500</v>
      </c>
      <c r="F5" s="14" t="n">
        <f aca="false">F4*Assumptions!$B$11</f>
        <v>275000</v>
      </c>
      <c r="G5" s="14" t="n">
        <f aca="false">G4*Assumptions!$B$11</f>
        <v>302500</v>
      </c>
      <c r="H5" s="14" t="n">
        <f aca="false">H4*Assumptions!$B$11</f>
        <v>302500</v>
      </c>
      <c r="I5" s="14" t="n">
        <f aca="false">I4*Assumptions!$B$11</f>
        <v>275000</v>
      </c>
      <c r="J5" s="14" t="n">
        <f aca="false">J4*Assumptions!$B$11</f>
        <v>302500</v>
      </c>
      <c r="K5" s="14" t="n">
        <f aca="false">K4*Assumptions!$B$11</f>
        <v>357500</v>
      </c>
      <c r="L5" s="14" t="n">
        <f aca="false">L4*Assumptions!$B$11</f>
        <v>385000</v>
      </c>
      <c r="M5" s="14" t="n">
        <f aca="false">M4*Assumptions!$B$11</f>
        <v>357500</v>
      </c>
      <c r="N5" s="13" t="n">
        <f aca="false">SUM(B5:M5)</f>
        <v>3300000</v>
      </c>
    </row>
    <row r="6" customFormat="false" ht="15" hidden="false" customHeight="false" outlineLevel="0" collapsed="false">
      <c r="A6" s="4" t="s">
        <v>38</v>
      </c>
      <c r="B6" s="14" t="n">
        <f aca="false">B4*Assumptions!$B$5</f>
        <v>6000</v>
      </c>
      <c r="C6" s="14" t="n">
        <f aca="false">C4*Assumptions!$B$5</f>
        <v>9000</v>
      </c>
      <c r="D6" s="14" t="n">
        <f aca="false">D4*Assumptions!$B$5</f>
        <v>12000</v>
      </c>
      <c r="E6" s="14" t="n">
        <f aca="false">E4*Assumptions!$B$5</f>
        <v>13500</v>
      </c>
      <c r="F6" s="14" t="n">
        <f aca="false">F4*Assumptions!$B$5</f>
        <v>15000</v>
      </c>
      <c r="G6" s="14" t="n">
        <f aca="false">G4*Assumptions!$B$5</f>
        <v>16500</v>
      </c>
      <c r="H6" s="14" t="n">
        <f aca="false">H4*Assumptions!$B$5</f>
        <v>16500</v>
      </c>
      <c r="I6" s="14" t="n">
        <f aca="false">I4*Assumptions!$B$5</f>
        <v>15000</v>
      </c>
      <c r="J6" s="14" t="n">
        <f aca="false">J4*Assumptions!$B$5</f>
        <v>16500</v>
      </c>
      <c r="K6" s="14" t="n">
        <f aca="false">K4*Assumptions!$B$5</f>
        <v>19500</v>
      </c>
      <c r="L6" s="14" t="n">
        <f aca="false">L4*Assumptions!$B$5</f>
        <v>21000</v>
      </c>
      <c r="M6" s="14" t="n">
        <f aca="false">M4*Assumptions!$B$5</f>
        <v>19500</v>
      </c>
      <c r="N6" s="13" t="n">
        <f aca="false">SUM(B6:M6)</f>
        <v>180000</v>
      </c>
    </row>
    <row r="7" customFormat="false" ht="15" hidden="false" customHeight="false" outlineLevel="0" collapsed="false">
      <c r="A7" s="4" t="s">
        <v>39</v>
      </c>
      <c r="B7" s="14" t="n">
        <v>0</v>
      </c>
      <c r="C7" s="14" t="n">
        <f aca="false">B8*Assumptions!$B$6</f>
        <v>420</v>
      </c>
      <c r="D7" s="14" t="n">
        <f aca="false">C8*Assumptions!$B$6</f>
        <v>1020.6</v>
      </c>
      <c r="E7" s="14" t="n">
        <f aca="false">D8*Assumptions!$B$6</f>
        <v>1789.158</v>
      </c>
      <c r="F7" s="14" t="n">
        <f aca="false">E8*Assumptions!$B$6</f>
        <v>2608.91694</v>
      </c>
      <c r="G7" s="14" t="n">
        <f aca="false">F8*Assumptions!$B$6</f>
        <v>3476.2927542</v>
      </c>
      <c r="H7" s="14" t="n">
        <f aca="false">G8*Assumptions!$B$6</f>
        <v>4387.952261406</v>
      </c>
      <c r="I7" s="14" t="n">
        <f aca="false">H8*Assumptions!$B$6</f>
        <v>5235.79560310758</v>
      </c>
      <c r="J7" s="14" t="n">
        <f aca="false">I8*Assumptions!$B$6</f>
        <v>5919.28991089005</v>
      </c>
      <c r="K7" s="14" t="n">
        <f aca="false">J8*Assumptions!$B$6</f>
        <v>6659.93961712775</v>
      </c>
      <c r="L7" s="14" t="n">
        <f aca="false">K8*Assumptions!$B$6</f>
        <v>7558.7438439288</v>
      </c>
      <c r="M7" s="14" t="n">
        <f aca="false">L8*Assumptions!$B$6</f>
        <v>8499.63177485379</v>
      </c>
      <c r="N7" s="13" t="n">
        <f aca="false">SUM(B7:M7)</f>
        <v>47576.320705514</v>
      </c>
    </row>
    <row r="8" customFormat="false" ht="15" hidden="false" customHeight="false" outlineLevel="0" collapsed="false">
      <c r="A8" s="15" t="s">
        <v>40</v>
      </c>
      <c r="B8" s="13" t="n">
        <f aca="false">B6</f>
        <v>6000</v>
      </c>
      <c r="C8" s="13" t="n">
        <f aca="false">B8-C7+C6</f>
        <v>14580</v>
      </c>
      <c r="D8" s="13" t="n">
        <f aca="false">C8-D7+D6</f>
        <v>25559.4</v>
      </c>
      <c r="E8" s="13" t="n">
        <f aca="false">D8-E7+E6</f>
        <v>37270.242</v>
      </c>
      <c r="F8" s="13" t="n">
        <f aca="false">E8-F7+F6</f>
        <v>49661.32506</v>
      </c>
      <c r="G8" s="13" t="n">
        <f aca="false">F8-G7+G6</f>
        <v>62685.0323058</v>
      </c>
      <c r="H8" s="13" t="n">
        <f aca="false">G8-H7+H6</f>
        <v>74797.080044394</v>
      </c>
      <c r="I8" s="13" t="n">
        <f aca="false">H8-I7+I6</f>
        <v>84561.2844412864</v>
      </c>
      <c r="J8" s="13" t="n">
        <f aca="false">I8-J7+J6</f>
        <v>95141.9945303964</v>
      </c>
      <c r="K8" s="13" t="n">
        <f aca="false">J8-K7+K6</f>
        <v>107982.054913269</v>
      </c>
      <c r="L8" s="13" t="n">
        <f aca="false">K8-L7+L6</f>
        <v>121423.31106934</v>
      </c>
      <c r="M8" s="13" t="n">
        <f aca="false">L8-M7+M6</f>
        <v>132423.679294486</v>
      </c>
      <c r="N8" s="13" t="n">
        <f aca="false">M8</f>
        <v>132423.679294486</v>
      </c>
    </row>
    <row r="9" customFormat="false" ht="15" hidden="false" customHeight="false" outlineLevel="0" collapsed="false">
      <c r="A9" s="4" t="s">
        <v>41</v>
      </c>
      <c r="B9" s="16" t="n">
        <f aca="false">B8*Assumptions!$B$7</f>
        <v>47940</v>
      </c>
      <c r="C9" s="16" t="n">
        <f aca="false">C8*Assumptions!$B$7</f>
        <v>116494.2</v>
      </c>
      <c r="D9" s="16" t="n">
        <f aca="false">D8*Assumptions!$B$7</f>
        <v>204219.606</v>
      </c>
      <c r="E9" s="16" t="n">
        <f aca="false">E8*Assumptions!$B$7</f>
        <v>297789.23358</v>
      </c>
      <c r="F9" s="16" t="n">
        <f aca="false">F8*Assumptions!$B$7</f>
        <v>396793.9872294</v>
      </c>
      <c r="G9" s="16" t="n">
        <f aca="false">G8*Assumptions!$B$7</f>
        <v>500853.408123342</v>
      </c>
      <c r="H9" s="16" t="n">
        <f aca="false">H8*Assumptions!$B$7</f>
        <v>597628.669554708</v>
      </c>
      <c r="I9" s="16" t="n">
        <f aca="false">I8*Assumptions!$B$7</f>
        <v>675644.662685879</v>
      </c>
      <c r="J9" s="16" t="n">
        <f aca="false">J8*Assumptions!$B$7</f>
        <v>760184.536297867</v>
      </c>
      <c r="K9" s="16" t="n">
        <f aca="false">K8*Assumptions!$B$7</f>
        <v>862776.618757016</v>
      </c>
      <c r="L9" s="16" t="n">
        <f aca="false">L8*Assumptions!$B$7</f>
        <v>970172.255444025</v>
      </c>
      <c r="M9" s="16" t="n">
        <f aca="false">M8*Assumptions!$B$7</f>
        <v>1058065.19756294</v>
      </c>
      <c r="N9" s="17" t="n">
        <f aca="false">M9</f>
        <v>1058065.19756294</v>
      </c>
    </row>
    <row r="10" customFormat="false" ht="15" hidden="false" customHeight="false" outlineLevel="0" collapsed="false">
      <c r="A10" s="15" t="s">
        <v>42</v>
      </c>
      <c r="B10" s="17" t="n">
        <f aca="false">B9</f>
        <v>47940</v>
      </c>
      <c r="C10" s="17" t="n">
        <f aca="false">C9</f>
        <v>116494.2</v>
      </c>
      <c r="D10" s="17" t="n">
        <f aca="false">D9</f>
        <v>204219.606</v>
      </c>
      <c r="E10" s="17" t="n">
        <f aca="false">E9</f>
        <v>297789.23358</v>
      </c>
      <c r="F10" s="17" t="n">
        <f aca="false">F9</f>
        <v>396793.9872294</v>
      </c>
      <c r="G10" s="17" t="n">
        <f aca="false">G9</f>
        <v>500853.408123342</v>
      </c>
      <c r="H10" s="17" t="n">
        <f aca="false">H9</f>
        <v>597628.669554708</v>
      </c>
      <c r="I10" s="17" t="n">
        <f aca="false">I9</f>
        <v>675644.662685879</v>
      </c>
      <c r="J10" s="17" t="n">
        <f aca="false">J9</f>
        <v>760184.536297867</v>
      </c>
      <c r="K10" s="17" t="n">
        <f aca="false">K9</f>
        <v>862776.618757016</v>
      </c>
      <c r="L10" s="17" t="n">
        <f aca="false">L9</f>
        <v>970172.255444025</v>
      </c>
      <c r="M10" s="17" t="n">
        <f aca="false">M9</f>
        <v>1058065.19756294</v>
      </c>
      <c r="N10" s="17" t="n">
        <f aca="false">SUM(B10:M10)</f>
        <v>6488562.37523518</v>
      </c>
    </row>
    <row r="11" customFormat="false" ht="15" hidden="false" customHeight="false" outlineLevel="0" collapsed="false">
      <c r="A11" s="4" t="s">
        <v>43</v>
      </c>
      <c r="B11" s="16" t="n">
        <f aca="false">B10*Assumptions!$B$10</f>
        <v>40749</v>
      </c>
      <c r="C11" s="16" t="n">
        <f aca="false">C10*Assumptions!$B$10</f>
        <v>99020.07</v>
      </c>
      <c r="D11" s="16" t="n">
        <f aca="false">D10*Assumptions!$B$10</f>
        <v>173586.6651</v>
      </c>
      <c r="E11" s="16" t="n">
        <f aca="false">E10*Assumptions!$B$10</f>
        <v>253120.848543</v>
      </c>
      <c r="F11" s="16" t="n">
        <f aca="false">F10*Assumptions!$B$10</f>
        <v>337274.88914499</v>
      </c>
      <c r="G11" s="16" t="n">
        <f aca="false">G10*Assumptions!$B$10</f>
        <v>425725.396904841</v>
      </c>
      <c r="H11" s="16" t="n">
        <f aca="false">H10*Assumptions!$B$10</f>
        <v>507984.369121502</v>
      </c>
      <c r="I11" s="16" t="n">
        <f aca="false">I10*Assumptions!$B$10</f>
        <v>574297.963282997</v>
      </c>
      <c r="J11" s="16" t="n">
        <f aca="false">J10*Assumptions!$B$10</f>
        <v>646156.855853187</v>
      </c>
      <c r="K11" s="16" t="n">
        <f aca="false">K10*Assumptions!$B$10</f>
        <v>733360.125943464</v>
      </c>
      <c r="L11" s="16" t="n">
        <f aca="false">L10*Assumptions!$B$10</f>
        <v>824646.417127421</v>
      </c>
      <c r="M11" s="16" t="n">
        <f aca="false">M10*Assumptions!$B$10</f>
        <v>899355.417928502</v>
      </c>
      <c r="N11" s="17" t="n">
        <f aca="false">SUM(B11:M11)</f>
        <v>5515278.0189499</v>
      </c>
    </row>
    <row r="13" customFormat="false" ht="15" hidden="false" customHeight="false" outlineLevel="0" collapsed="false">
      <c r="A13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</row>
    <row r="4" customFormat="false" ht="15" hidden="false" customHeight="false" outlineLevel="0" collapsed="false">
      <c r="A4" s="15" t="s">
        <v>51</v>
      </c>
      <c r="B4" s="18" t="n">
        <f aca="false">'Monthly Model'!N4</f>
        <v>6000000</v>
      </c>
      <c r="C4" s="12" t="n">
        <v>6000000</v>
      </c>
      <c r="D4" s="4" t="str">
        <f aca="false">IF(B4&gt;=C4,"On track","Below target")</f>
        <v>On track</v>
      </c>
      <c r="E4" s="6" t="s">
        <v>52</v>
      </c>
    </row>
    <row r="5" customFormat="false" ht="15" hidden="false" customHeight="false" outlineLevel="0" collapsed="false">
      <c r="A5" s="15" t="s">
        <v>53</v>
      </c>
      <c r="B5" s="19" t="n">
        <f aca="false">Assumptions!B11</f>
        <v>0.55</v>
      </c>
      <c r="C5" s="9" t="n">
        <v>0.55</v>
      </c>
      <c r="D5" s="4" t="str">
        <f aca="false">IF(B5&gt;=C5,"On track","Below target")</f>
        <v>On track</v>
      </c>
      <c r="E5" s="6" t="s">
        <v>54</v>
      </c>
    </row>
    <row r="6" customFormat="false" ht="15" hidden="false" customHeight="false" outlineLevel="0" collapsed="false">
      <c r="A6" s="15" t="s">
        <v>55</v>
      </c>
      <c r="B6" s="19" t="n">
        <f aca="false">Assumptions!B5</f>
        <v>0.03</v>
      </c>
      <c r="C6" s="9" t="n">
        <v>0.03</v>
      </c>
      <c r="D6" s="4" t="str">
        <f aca="false">IF(B6&gt;=C6,"On track","Below target")</f>
        <v>On track</v>
      </c>
      <c r="E6" s="6" t="s">
        <v>56</v>
      </c>
    </row>
    <row r="7" customFormat="false" ht="15" hidden="false" customHeight="false" outlineLevel="0" collapsed="false">
      <c r="A7" s="15" t="s">
        <v>57</v>
      </c>
      <c r="B7" s="18" t="n">
        <f aca="false">'Monthly Model'!N6</f>
        <v>180000</v>
      </c>
      <c r="C7" s="12" t="n">
        <v>180000</v>
      </c>
      <c r="D7" s="4" t="str">
        <f aca="false">IF(B7&gt;=C7,"On track","Below target")</f>
        <v>On track</v>
      </c>
      <c r="E7" s="6" t="s">
        <v>58</v>
      </c>
    </row>
    <row r="8" customFormat="false" ht="15" hidden="false" customHeight="false" outlineLevel="0" collapsed="false">
      <c r="A8" s="15" t="s">
        <v>40</v>
      </c>
      <c r="B8" s="18" t="n">
        <f aca="false">'Monthly Model'!N8</f>
        <v>132423.679294486</v>
      </c>
      <c r="C8" s="12" t="n">
        <v>130000</v>
      </c>
      <c r="D8" s="4" t="str">
        <f aca="false">IF(B8&gt;=C8,"On track","Below target")</f>
        <v>On track</v>
      </c>
      <c r="E8" s="6" t="s">
        <v>59</v>
      </c>
    </row>
    <row r="9" customFormat="false" ht="15" hidden="false" customHeight="false" outlineLevel="0" collapsed="false">
      <c r="A9" s="15" t="s">
        <v>60</v>
      </c>
      <c r="B9" s="20" t="n">
        <f aca="false">'Monthly Model'!N10</f>
        <v>6488562.37523518</v>
      </c>
      <c r="C9" s="10" t="n">
        <v>6000000</v>
      </c>
      <c r="D9" s="4" t="str">
        <f aca="false">IF(B9&gt;=C9,"On track","Below target")</f>
        <v>On track</v>
      </c>
      <c r="E9" s="6" t="s">
        <v>61</v>
      </c>
    </row>
    <row r="10" customFormat="false" ht="15" hidden="false" customHeight="false" outlineLevel="0" collapsed="false">
      <c r="A10" s="15" t="s">
        <v>62</v>
      </c>
      <c r="B10" s="20" t="n">
        <f aca="false">'Monthly Model'!M9*12</f>
        <v>12696782.3707553</v>
      </c>
      <c r="C10" s="10" t="n">
        <v>12000000</v>
      </c>
      <c r="D10" s="4" t="str">
        <f aca="false">IF(B10&gt;=C10,"On track","Below target")</f>
        <v>On track</v>
      </c>
      <c r="E10" s="6" t="s">
        <v>63</v>
      </c>
    </row>
    <row r="11" customFormat="false" ht="15" hidden="false" customHeight="false" outlineLevel="0" collapsed="false">
      <c r="A11" s="15" t="s">
        <v>64</v>
      </c>
      <c r="B11" s="20" t="n">
        <f aca="false">Assumptions!B12/'Monthly Model'!N6</f>
        <v>66.6666666666667</v>
      </c>
      <c r="C11" s="10" t="n">
        <v>70</v>
      </c>
      <c r="D11" s="4" t="str">
        <f aca="false">IF(B11&lt;=C11,"On track","Above target")</f>
        <v>On track</v>
      </c>
      <c r="E11" s="6" t="s">
        <v>65</v>
      </c>
    </row>
    <row r="12" customFormat="false" ht="15" hidden="false" customHeight="false" outlineLevel="0" collapsed="false">
      <c r="A12" s="15" t="s">
        <v>66</v>
      </c>
      <c r="B12" s="21" t="n">
        <f aca="false">Assumptions!B12/'Monthly Model'!N4</f>
        <v>2</v>
      </c>
      <c r="C12" s="8" t="n">
        <v>2.5</v>
      </c>
      <c r="D12" s="4" t="str">
        <f aca="false">IF(B12&lt;=C12,"On track","Above target")</f>
        <v>On track</v>
      </c>
      <c r="E12" s="6" t="s">
        <v>67</v>
      </c>
    </row>
    <row r="13" customFormat="false" ht="15" hidden="false" customHeight="false" outlineLevel="0" collapsed="false">
      <c r="A13" s="15" t="s">
        <v>68</v>
      </c>
      <c r="B13" s="20" t="n">
        <f aca="false">Assumptions!B7/Assumptions!B6*Assumptions!B10</f>
        <v>97.0214285714286</v>
      </c>
      <c r="C13" s="10" t="n">
        <v>90</v>
      </c>
      <c r="D13" s="4" t="str">
        <f aca="false">IF(B13&gt;=C13,"On track","Below target")</f>
        <v>On track</v>
      </c>
      <c r="E13" s="6" t="s">
        <v>69</v>
      </c>
    </row>
    <row r="14" customFormat="false" ht="15" hidden="false" customHeight="false" outlineLevel="0" collapsed="false">
      <c r="A14" s="15" t="s">
        <v>70</v>
      </c>
      <c r="B14" s="22" t="n">
        <f aca="false">B13/B11</f>
        <v>1.45532142857143</v>
      </c>
      <c r="C14" s="23" t="n">
        <v>1.3</v>
      </c>
      <c r="D14" s="4" t="str">
        <f aca="false">IF(B14&gt;=C14,"On track","Below target")</f>
        <v>On track</v>
      </c>
      <c r="E14" s="6" t="s">
        <v>71</v>
      </c>
    </row>
    <row r="15" customFormat="false" ht="15" hidden="false" customHeight="false" outlineLevel="0" collapsed="false">
      <c r="A15" s="15" t="s">
        <v>7</v>
      </c>
      <c r="B15" s="19" t="n">
        <f aca="false">Assumptions!B6</f>
        <v>0.07</v>
      </c>
      <c r="C15" s="9" t="n">
        <v>0.07</v>
      </c>
      <c r="D15" s="4" t="str">
        <f aca="false">IF(B15&lt;=C15,"On track","Above target")</f>
        <v>On track</v>
      </c>
      <c r="E15" s="6" t="s">
        <v>72</v>
      </c>
    </row>
    <row r="17" customFormat="false" ht="15" hidden="false" customHeight="false" outlineLevel="0" collapsed="false">
      <c r="A17" s="2" t="s">
        <v>73</v>
      </c>
    </row>
    <row r="18" customFormat="false" ht="15" hidden="false" customHeight="false" outlineLevel="0" collapsed="false">
      <c r="A18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3" t="s">
        <v>76</v>
      </c>
      <c r="B3" s="3" t="s">
        <v>77</v>
      </c>
      <c r="C3" s="3" t="s">
        <v>78</v>
      </c>
      <c r="D3" s="3" t="s">
        <v>79</v>
      </c>
    </row>
    <row r="4" customFormat="false" ht="15" hidden="false" customHeight="false" outlineLevel="0" collapsed="false">
      <c r="A4" s="4" t="s">
        <v>80</v>
      </c>
      <c r="B4" s="10" t="n">
        <v>5000000</v>
      </c>
      <c r="C4" s="24" t="n">
        <f aca="false">B4/$B$10</f>
        <v>0.416666666666667</v>
      </c>
      <c r="D4" s="6" t="s">
        <v>81</v>
      </c>
    </row>
    <row r="5" customFormat="false" ht="15" hidden="false" customHeight="false" outlineLevel="0" collapsed="false">
      <c r="A5" s="4" t="s">
        <v>82</v>
      </c>
      <c r="B5" s="10" t="n">
        <v>2500000</v>
      </c>
      <c r="C5" s="24" t="n">
        <f aca="false">B5/$B$10</f>
        <v>0.208333333333333</v>
      </c>
      <c r="D5" s="6" t="s">
        <v>83</v>
      </c>
    </row>
    <row r="6" customFormat="false" ht="15" hidden="false" customHeight="false" outlineLevel="0" collapsed="false">
      <c r="A6" s="4" t="s">
        <v>84</v>
      </c>
      <c r="B6" s="10" t="n">
        <v>1500000</v>
      </c>
      <c r="C6" s="24" t="n">
        <f aca="false">B6/$B$10</f>
        <v>0.125</v>
      </c>
      <c r="D6" s="6" t="s">
        <v>85</v>
      </c>
    </row>
    <row r="7" customFormat="false" ht="15" hidden="false" customHeight="false" outlineLevel="0" collapsed="false">
      <c r="A7" s="4" t="s">
        <v>86</v>
      </c>
      <c r="B7" s="10" t="n">
        <v>1200000</v>
      </c>
      <c r="C7" s="24" t="n">
        <f aca="false">B7/$B$10</f>
        <v>0.1</v>
      </c>
      <c r="D7" s="6" t="s">
        <v>87</v>
      </c>
    </row>
    <row r="8" customFormat="false" ht="15" hidden="false" customHeight="false" outlineLevel="0" collapsed="false">
      <c r="A8" s="4" t="s">
        <v>88</v>
      </c>
      <c r="B8" s="10" t="n">
        <v>800000</v>
      </c>
      <c r="C8" s="24" t="n">
        <f aca="false">B8/$B$10</f>
        <v>0.0666666666666667</v>
      </c>
      <c r="D8" s="6" t="s">
        <v>89</v>
      </c>
    </row>
    <row r="9" customFormat="false" ht="15" hidden="false" customHeight="false" outlineLevel="0" collapsed="false">
      <c r="A9" s="4" t="s">
        <v>90</v>
      </c>
      <c r="B9" s="10" t="n">
        <v>1000000</v>
      </c>
      <c r="C9" s="24" t="n">
        <f aca="false">B9/$B$10</f>
        <v>0.0833333333333333</v>
      </c>
      <c r="D9" s="6" t="s">
        <v>91</v>
      </c>
    </row>
    <row r="10" customFormat="false" ht="15" hidden="false" customHeight="false" outlineLevel="0" collapsed="false">
      <c r="A10" s="15" t="s">
        <v>92</v>
      </c>
      <c r="B10" s="17" t="n">
        <f aca="false">SUM(B4:B9)</f>
        <v>12000000</v>
      </c>
      <c r="C10" s="25" t="n">
        <f aca="false">B10/B10</f>
        <v>1</v>
      </c>
      <c r="D10" s="2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2026-07-29T03:36:52Z</dcterms:created>
  <dc:creator>openpyxl</dc:creator>
  <dc:description/>
  <dc:language>en-US</dc:language>
  <cp:lastModifiedBy/>
  <dcterms:modified xsi:type="dcterms:W3CDTF">2026-07-29T03:36:52Z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